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2BC7E8E8-482A-F642-A909-8C8645EB1452}" xr6:coauthVersionLast="36" xr6:coauthVersionMax="36" xr10:uidLastSave="{00000000-0000-0000-0000-000000000000}"/>
  <bookViews>
    <workbookView xWindow="560" yWindow="500" windowWidth="25040" windowHeight="14560" tabRatio="500" xr2:uid="{00000000-000D-0000-FFFF-FFFF00000000}"/>
  </bookViews>
  <sheets>
    <sheet name="Sheet1" sheetId="1" r:id="rId1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<sst xmlns="http://schemas.openxmlformats.org/spreadsheetml/2006/main" count="308" uniqueCount="141">
  <si>
    <t>Authors</t>
  </si>
  <si>
    <t>Title</t>
  </si>
  <si>
    <t>Journal</t>
  </si>
  <si>
    <t>Issue, number, page numbers</t>
  </si>
  <si>
    <t>Reviewer 1</t>
  </si>
  <si>
    <t>Reviewer 2</t>
  </si>
  <si>
    <t>Exposure(s)</t>
  </si>
  <si>
    <t>Mediator(s)</t>
  </si>
  <si>
    <t>Outcome(s)</t>
  </si>
  <si>
    <t>Citation for mediation method</t>
  </si>
  <si>
    <t>Name of mediation method</t>
  </si>
  <si>
    <t>Effects of interst (NIE, NDE, etc.)</t>
  </si>
  <si>
    <t>Covariates in exposure/mediator model</t>
  </si>
  <si>
    <t>Covariates in mediator/outcome model</t>
  </si>
  <si>
    <t>Covariates in exposure/outcome model</t>
  </si>
  <si>
    <t>Any justification for covariates?</t>
  </si>
  <si>
    <t>Sample size</t>
  </si>
  <si>
    <t>Temporal ordering of mediator before outcome (yes/no)</t>
  </si>
  <si>
    <t>Temporal ordering of exposure before mediator (yes/no)</t>
  </si>
  <si>
    <t>Sensitivity analyes to assumptions (yes/no)</t>
  </si>
  <si>
    <t>Does model control for other post-exposure variables (yes/no)</t>
  </si>
  <si>
    <t>Exposure randomized?</t>
  </si>
  <si>
    <t>Clustering?</t>
  </si>
  <si>
    <t>Clustering dealt with?</t>
  </si>
  <si>
    <t>Sample description</t>
  </si>
  <si>
    <t>Data available?</t>
  </si>
  <si>
    <t>Causal mediation? (yes/no)</t>
  </si>
  <si>
    <t>If Baron+Kenny, examine whether no interaction b/w tx and mediator on outcome?</t>
  </si>
  <si>
    <t>Baseline value of mediator adjusted for?</t>
  </si>
  <si>
    <t>Baseline value of outcome adjusted for?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</si>
  <si>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</si>
  <si>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If B+K, examine linear relationship b/w mediator and outcome?</t>
  </si>
  <si>
    <t>Discussion of mediation assumptions (yes/no)</t>
  </si>
  <si>
    <t>PMID#</t>
  </si>
  <si>
    <t>link to paper</t>
  </si>
  <si>
    <t>PDF in folder?</t>
  </si>
  <si>
    <t>Y</t>
  </si>
  <si>
    <t>N</t>
  </si>
  <si>
    <t>Gunho</t>
  </si>
  <si>
    <t>https://www-sciencedirect-com.ezp.welch.jhmi.edu/science/article/pii/S0920996416300822/pdfft?md5=e553551701f3b3bb93b00d0ad8924b32&amp;pid=1-s2.0-S0920996416300822-main.pdf</t>
  </si>
  <si>
    <t>https://www-sciencedirect-com.ezp.welch.jhmi.edu/science/article/pii/S0165032716301410/pdfft?md5=9c4feef935410d72cba7ceb516a7bcb9&amp;pid=1-s2.0-S0165032716301410-main.pdf</t>
  </si>
  <si>
    <t>http://eds.b.ebscohost.com.ezp.welch.jhmi.edu/ehost/detail/detail?vid=1&amp;sid=cd046858-7d62-4e32-b26a-8cfc9cb65e4b%40pdc-v-sessmgr04&amp;bdata=JnNpdGU9ZWhvc3QtbGl2ZSZzY29wZT1zaXRl#AN=2016-41321-001&amp;db=pdh</t>
  </si>
  <si>
    <t>https://www-ncbi-nlm-nih-gov.ezp.welch.jhmi.edu/pmc/articles/PMC4981589/</t>
  </si>
  <si>
    <t>https://www-sciencedirect-com.ezp.welch.jhmi.edu/science/article/pii/S0165032716311879/pdfft?md5=e73cb6ac719bb4284c484984ebad32cd&amp;pid=1-s2.0-S0165032716311879-main.pdf</t>
  </si>
  <si>
    <t>https://www-ncbi-nlm-nih-gov.ezp.welch.jhmi.edu/pmc/articles/PMC5447058/</t>
  </si>
  <si>
    <t>https://www-ncbi-nlm-nih-gov.ezp.welch.jhmi.edu/pmc/articles/PMC5605664/</t>
  </si>
  <si>
    <t>https://www-sciencedirect-com.ezp.welch.jhmi.edu/science/article/pii/S0165032717321134/pdfft?md5=40c86ada0f5a3e372f09b29500cf6eb3&amp;pid=1-s2.0-S0165032717321134-main.pdf</t>
  </si>
  <si>
    <t>no</t>
  </si>
  <si>
    <t>No</t>
  </si>
  <si>
    <t>NA</t>
  </si>
  <si>
    <t>Frontiers in Psychology</t>
  </si>
  <si>
    <t>Hayes 2013, SPSS PROCESS Model 4</t>
  </si>
  <si>
    <t>Journal of Affective Disorders</t>
  </si>
  <si>
    <t>Preacher and Hayes 2008</t>
  </si>
  <si>
    <t>bootstrapping method</t>
  </si>
  <si>
    <t>indirect</t>
  </si>
  <si>
    <t>NO</t>
  </si>
  <si>
    <t>yes</t>
  </si>
  <si>
    <t>na</t>
  </si>
  <si>
    <t>well-being</t>
  </si>
  <si>
    <t>Bootstrap in SPSS</t>
  </si>
  <si>
    <t>direct and indirect</t>
  </si>
  <si>
    <t>Frajo-Apor, B., Pardeller, S., Kemmler, G., Welte, A., and Hofer, A.</t>
  </si>
  <si>
    <t>Emotional Intelligence deficits in schizophrenia: The impact of non-social cognition</t>
  </si>
  <si>
    <t>Elsevier</t>
  </si>
  <si>
    <t>56 schizophrenia outpatients and 84 control sobujects</t>
  </si>
  <si>
    <t>comparing schizophrenia outpatients with control subjects</t>
  </si>
  <si>
    <t>yes, (Preacher and Hayes, 2008)</t>
  </si>
  <si>
    <t>Schizophrenia vs. controls</t>
  </si>
  <si>
    <t>BACS (Brief Assessment of Congnition in Schizophrenia) composite score</t>
  </si>
  <si>
    <t>MSCEIT (Mayer-Salovey-Caruso Emotional intelligence Test) total score</t>
  </si>
  <si>
    <t>total, direct, and indirect</t>
  </si>
  <si>
    <t>yes, "Analysis of covariance were performanced with adjustment for the BACS composite score and education"</t>
  </si>
  <si>
    <t>no?</t>
  </si>
  <si>
    <t>Depression, help-seeking perceptions, and perceived family functioning among Spanish-Dominant Hispanics and Non-Hispanic Whites</t>
  </si>
  <si>
    <t>Keeler, A., Siegel, J.</t>
  </si>
  <si>
    <t>Vol 202, 15 Sep 2016, p236-246</t>
  </si>
  <si>
    <t>Study 1: 130; Study 2: 123</t>
  </si>
  <si>
    <t>perceived family functioning (PFF)</t>
  </si>
  <si>
    <t>yes, (Preacher et al., 2007)</t>
  </si>
  <si>
    <t>130 Spanish-Dominant Hispanics adults and 124 Non-Hispanic Whites adults</t>
  </si>
  <si>
    <t>Depression Symtomatlogy</t>
  </si>
  <si>
    <t>Help-seeking perceptions</t>
  </si>
  <si>
    <t>Gender</t>
  </si>
  <si>
    <t>Subtle perceptions of male sexual orientation influence occupational opportunities</t>
  </si>
  <si>
    <t>Journal of Applied Psychology</t>
  </si>
  <si>
    <t>Vol 101(12) Dec,2016 pp.1687-1704</t>
  </si>
  <si>
    <t>Rule, N., Bjornsdottir, R.T., Tskhay, K.O., Ambady, N.</t>
  </si>
  <si>
    <t>working adult (187 heterosexual, 14 gay, bisexual, or other)</t>
  </si>
  <si>
    <t>actual sexual orientation</t>
  </si>
  <si>
    <t>perceived occupational suitability</t>
  </si>
  <si>
    <t>perceived seuxal orientation and two correlates (masculinity/feminity and facial affect)</t>
  </si>
  <si>
    <t>years of hiring experience</t>
  </si>
  <si>
    <t>Nicotine Dependence as a Mediator of Projext EX's Effects to Reduce Tobacco Use in Scholars</t>
  </si>
  <si>
    <t>Gonzalvez, M., Espada, J., Orgiles, M., Morales, A., and Sussman, S.</t>
  </si>
  <si>
    <t>2016;7:1207</t>
  </si>
  <si>
    <t>smoking scholars aged 14-21 year old from 45 schools  in the Alicante, a province of Spain.</t>
  </si>
  <si>
    <t>Experimental Condition</t>
  </si>
  <si>
    <t>Nicotine Dependence</t>
  </si>
  <si>
    <t>Smoking Cessation Outcome Measures</t>
  </si>
  <si>
    <t>nono</t>
  </si>
  <si>
    <t>Baryshnkov, I. et al.</t>
  </si>
  <si>
    <t>Relationships between self-reported childhood traumatic experiences, attachment style, neuroticism and features of borderline personality disorders in patients with mood disorders</t>
  </si>
  <si>
    <t>210(2017) 82-89</t>
  </si>
  <si>
    <t>TADS</t>
  </si>
  <si>
    <t>anxious</t>
  </si>
  <si>
    <t>MSI</t>
  </si>
  <si>
    <t>Mackinnon et al., 2004</t>
  </si>
  <si>
    <t xml:space="preserve">no </t>
  </si>
  <si>
    <t>patients with Unipolar or Bipolar Disorder</t>
  </si>
  <si>
    <t>depressive symptoms</t>
  </si>
  <si>
    <t>Briki W.</t>
  </si>
  <si>
    <t>Passion, Trait Self-Control, and Wellbing: Comparing Two Mediation Models Predicting Wellbeing</t>
  </si>
  <si>
    <t>2017; 8:841</t>
  </si>
  <si>
    <t>trait self-control</t>
  </si>
  <si>
    <t>volunteers from the United States who reported being passionate about a specfic activity</t>
  </si>
  <si>
    <t>direct</t>
  </si>
  <si>
    <t>passion (Harmonious, obsessive)</t>
  </si>
  <si>
    <t>the Partial Least Square Structural Equation Method and Spearman's rho</t>
  </si>
  <si>
    <t>Zhang, X, Chen, X., Shang, X., Liu, Y.</t>
  </si>
  <si>
    <t>Decisions for Others Are Less Risk-Averse in the Gain Frame and Less Risk-Seeking in the Loss Frame Than Decisions for the Self</t>
  </si>
  <si>
    <t>2017; 8:1601</t>
  </si>
  <si>
    <t>61 undergraduate students for study 1; 95 undergraduate students for study 2</t>
  </si>
  <si>
    <t>61;95</t>
  </si>
  <si>
    <t>loss aversion</t>
  </si>
  <si>
    <t>social distance</t>
  </si>
  <si>
    <t xml:space="preserve"> risk preferenes</t>
  </si>
  <si>
    <t>yes?</t>
  </si>
  <si>
    <t>Judd  et al, 2011</t>
  </si>
  <si>
    <t>"testing mediation within subject designs"</t>
  </si>
  <si>
    <t>Guo, L., Huang Y., Xu Y., Huang G., Gao X., Lei Y., Luo, M., Xi, C., Lu, C.</t>
  </si>
  <si>
    <t>The mediating effects of depressive symptoms on the association of childhood maltreatment with non-medical use of prescription drugs</t>
  </si>
  <si>
    <t>229(2018) 14-21</t>
  </si>
  <si>
    <t>Chinese Adolescents</t>
  </si>
  <si>
    <t>abuse/neglect (childhood maltreatment)</t>
  </si>
  <si>
    <t>opiods use/sedatives use</t>
  </si>
  <si>
    <t>Preacher and Hayes 2008, Gunzler et al., 2013</t>
  </si>
  <si>
    <t>Structural equation modeling (SEM)  using the maximum likelihood (ML) method</t>
  </si>
  <si>
    <t>indrirect, total</t>
  </si>
  <si>
    <t>alcohold drinking, smoking, demographic variables (age, gender, living arrangement, household socioeconomic status, classmate relations, and rleations with teachers)</t>
  </si>
  <si>
    <t>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</si>
</sst>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50505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25"/>
    <xf numFmtId="15" fontId="0" fillId="0" borderId="0" xfId="0" applyNumberFormat="1" applyAlignment="1">
      <alignment wrapText="1"/>
    </xf>
    <xf numFmtId="0" fontId="4" fillId="0" borderId="0" xfId="0" applyFont="1"/>
    <xf numFmtId="0" fontId="0" fillId="0" borderId="0" xfId="0" applyFont="1" applyAlignment="1">
      <alignment wrapText="1"/>
    </xf>
  </cellXfs>
  <cellStyles count="2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-sciencedirect-com.ezp.welch.jhmi.edu/science/article/pii/S0165032717321134/pdfft?md5=40c86ada0f5a3e372f09b29500cf6eb3&amp;pid=1-s2.0-S0165032717321134-main.pdf" TargetMode="External"/><Relationship Id="rId3" Type="http://schemas.openxmlformats.org/officeDocument/2006/relationships/hyperlink" Target="http://eds.b.ebscohost.com.ezp.welch.jhmi.edu/ehost/detail/detail?vid=1&amp;sid=cd046858-7d62-4e32-b26a-8cfc9cb65e4b%40pdc-v-sessmgr04&amp;bdata=JnNpdGU9ZWhvc3QtbGl2ZSZzY29wZT1zaXRl" TargetMode="External"/><Relationship Id="rId7" Type="http://schemas.openxmlformats.org/officeDocument/2006/relationships/hyperlink" Target="https://www-ncbi-nlm-nih-gov.ezp.welch.jhmi.edu/pmc/articles/PMC5605664/" TargetMode="External"/><Relationship Id="rId2" Type="http://schemas.openxmlformats.org/officeDocument/2006/relationships/hyperlink" Target="https://www-sciencedirect-com.ezp.welch.jhmi.edu/science/article/pii/S0165032716301410/pdfft?md5=9c4feef935410d72cba7ceb516a7bcb9&amp;pid=1-s2.0-S0165032716301410-main.pdf" TargetMode="External"/><Relationship Id="rId1" Type="http://schemas.openxmlformats.org/officeDocument/2006/relationships/hyperlink" Target="https://www-sciencedirect-com.ezp.welch.jhmi.edu/science/article/pii/S0920996416300822/pdfft?md5=e553551701f3b3bb93b00d0ad8924b32&amp;pid=1-s2.0-S0920996416300822-main.pdf" TargetMode="External"/><Relationship Id="rId6" Type="http://schemas.openxmlformats.org/officeDocument/2006/relationships/hyperlink" Target="https://www-ncbi-nlm-nih-gov.ezp.welch.jhmi.edu/pmc/articles/PMC5447058/" TargetMode="External"/><Relationship Id="rId5" Type="http://schemas.openxmlformats.org/officeDocument/2006/relationships/hyperlink" Target="https://www-sciencedirect-com.ezp.welch.jhmi.edu/science/article/pii/S0165032716311879/pdfft?md5=e73cb6ac719bb4284c484984ebad32cd&amp;pid=1-s2.0-S0165032716311879-main.pdf" TargetMode="External"/><Relationship Id="rId4" Type="http://schemas.openxmlformats.org/officeDocument/2006/relationships/hyperlink" Target="https://www-ncbi-nlm-nih-gov.ezp.welch.jhmi.edu/pmc/articles/PMC49815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0"/>
  <sheetViews>
    <sheetView tabSelected="1" zoomScale="90" zoomScaleNormal="125" zoomScalePageLayoutView="125" workbookViewId="0">
      <pane ySplit="1" topLeftCell="A2" activePane="bottomLeft" state="frozen"/>
      <selection pane="bottomLeft" activeCell="A8" sqref="A8"/>
    </sheetView>
  </sheetViews>
  <sheetFormatPr baseColWidth="10" defaultRowHeight="16" x14ac:dyDescent="0.2"/>
  <cols>
    <col min="1" max="4" width="12.33203125" style="5" customWidth="1"/>
    <col min="5" max="5" width="48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10.1640625" style="2" customWidth="1"/>
    <col min="11" max="11" width="22.33203125" style="2" bestFit="1" customWidth="1"/>
    <col min="12" max="12" width="11" style="2" bestFit="1" customWidth="1"/>
    <col min="13" max="13" width="10.1640625" style="2" customWidth="1"/>
    <col min="14" max="14" width="19.33203125" style="2" bestFit="1" customWidth="1"/>
    <col min="15" max="15" width="43.33203125" style="2" bestFit="1" customWidth="1"/>
    <col min="16" max="16" width="49.33203125" style="2" customWidth="1"/>
    <col min="17" max="17" width="45.6640625" style="2" customWidth="1"/>
    <col min="18" max="18" width="20.1640625" style="2" bestFit="1" customWidth="1"/>
    <col min="19" max="20" width="30.6640625" style="2" customWidth="1"/>
    <col min="21" max="21" width="15.6640625" style="2" customWidth="1"/>
    <col min="22" max="22" width="26.6640625" style="2" customWidth="1"/>
    <col min="23" max="23" width="19.5" style="2" customWidth="1"/>
    <col min="24" max="24" width="19.83203125" style="2" customWidth="1"/>
    <col min="25" max="25" width="20.6640625" style="2" customWidth="1"/>
    <col min="26" max="26" width="36.83203125" style="2" customWidth="1"/>
    <col min="27" max="27" width="37.33203125" style="2" customWidth="1"/>
    <col min="28" max="28" width="36" style="2" customWidth="1"/>
    <col min="29" max="29" width="20" style="2" customWidth="1"/>
    <col min="30" max="30" width="18.6640625" style="2" customWidth="1"/>
    <col min="31" max="31" width="19.5" style="2" customWidth="1"/>
    <col min="32" max="32" width="28.1640625" style="2" customWidth="1"/>
    <col min="33" max="33" width="27.5" style="2" customWidth="1"/>
    <col min="34" max="34" width="33.5" style="2" customWidth="1"/>
    <col min="35" max="35" width="24.33203125" style="2" customWidth="1"/>
    <col min="36" max="36" width="20.5" style="2" customWidth="1"/>
    <col min="37" max="16384" width="10.83203125" style="2"/>
  </cols>
  <sheetData>
    <row r="1" spans="1:36" s="1" customFormat="1" ht="120" thickBot="1" x14ac:dyDescent="0.25">
      <c r="A1" s="3" t="s">
        <v>33</v>
      </c>
      <c r="B1" s="3" t="s">
        <v>4</v>
      </c>
      <c r="C1" s="3" t="s">
        <v>5</v>
      </c>
      <c r="D1" s="3" t="s">
        <v>35</v>
      </c>
      <c r="E1" s="1" t="s">
        <v>34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25</v>
      </c>
      <c r="K1" s="1" t="s">
        <v>24</v>
      </c>
      <c r="L1" s="1" t="s">
        <v>16</v>
      </c>
      <c r="M1" s="1" t="s">
        <v>22</v>
      </c>
      <c r="N1" s="1" t="s">
        <v>23</v>
      </c>
      <c r="O1" s="1" t="s">
        <v>6</v>
      </c>
      <c r="P1" s="1" t="s">
        <v>7</v>
      </c>
      <c r="Q1" s="1" t="s">
        <v>8</v>
      </c>
      <c r="R1" s="1" t="s">
        <v>21</v>
      </c>
      <c r="S1" s="1" t="s">
        <v>10</v>
      </c>
      <c r="T1" s="1" t="s">
        <v>9</v>
      </c>
      <c r="U1" s="1" t="s">
        <v>26</v>
      </c>
      <c r="V1" s="1" t="s">
        <v>30</v>
      </c>
      <c r="W1" s="1" t="s">
        <v>11</v>
      </c>
      <c r="X1" s="1" t="s">
        <v>27</v>
      </c>
      <c r="Y1" s="1" t="s">
        <v>31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28</v>
      </c>
      <c r="AE1" s="1" t="s">
        <v>29</v>
      </c>
      <c r="AF1" s="1" t="s">
        <v>18</v>
      </c>
      <c r="AG1" s="1" t="s">
        <v>17</v>
      </c>
      <c r="AH1" s="1" t="s">
        <v>32</v>
      </c>
      <c r="AI1" s="1" t="s">
        <v>19</v>
      </c>
      <c r="AJ1" s="1" t="s">
        <v>20</v>
      </c>
    </row>
    <row r="2" spans="1:36" ht="120" thickTop="1" x14ac:dyDescent="0.2">
      <c r="A2" s="4">
        <v>26924619</v>
      </c>
      <c r="B2" s="4" t="s">
        <v>38</v>
      </c>
      <c r="C2" s="4" t="s">
        <v>140</v>
      </c>
      <c r="D2" s="4" t="s">
        <v>36</v>
      </c>
      <c r="E2" s="6" t="s">
        <v>39</v>
      </c>
      <c r="F2" s="2" t="s">
        <v>62</v>
      </c>
      <c r="G2" s="2" t="s">
        <v>63</v>
      </c>
      <c r="H2" s="2" t="s">
        <v>64</v>
      </c>
      <c r="I2" s="7">
        <v>42269</v>
      </c>
      <c r="J2" s="2" t="s">
        <v>47</v>
      </c>
      <c r="K2" s="2" t="s">
        <v>66</v>
      </c>
      <c r="L2" s="2" t="s">
        <v>65</v>
      </c>
      <c r="M2" s="2" t="s">
        <v>47</v>
      </c>
      <c r="N2" s="2" t="s">
        <v>49</v>
      </c>
      <c r="O2" s="2" t="s">
        <v>68</v>
      </c>
      <c r="P2" s="2" t="s">
        <v>69</v>
      </c>
      <c r="Q2" s="2" t="s">
        <v>70</v>
      </c>
      <c r="R2" s="2" t="s">
        <v>47</v>
      </c>
      <c r="S2" s="2" t="s">
        <v>60</v>
      </c>
      <c r="T2" s="2" t="s">
        <v>67</v>
      </c>
      <c r="U2" s="2" t="s">
        <v>47</v>
      </c>
      <c r="V2" s="2" t="s">
        <v>49</v>
      </c>
      <c r="W2" s="2" t="s">
        <v>71</v>
      </c>
      <c r="X2" s="2" t="s">
        <v>73</v>
      </c>
      <c r="Y2" s="2" t="s">
        <v>73</v>
      </c>
      <c r="Z2" s="2" t="s">
        <v>73</v>
      </c>
      <c r="AA2" s="2" t="s">
        <v>72</v>
      </c>
      <c r="AB2" s="2" t="s">
        <v>47</v>
      </c>
      <c r="AC2" s="2" t="s">
        <v>47</v>
      </c>
      <c r="AD2" s="2" t="s">
        <v>47</v>
      </c>
      <c r="AE2" s="2" t="s">
        <v>47</v>
      </c>
      <c r="AF2" s="2" t="s">
        <v>47</v>
      </c>
      <c r="AG2" s="2" t="s">
        <v>47</v>
      </c>
      <c r="AH2" s="2" t="s">
        <v>47</v>
      </c>
      <c r="AI2" s="2" t="s">
        <v>47</v>
      </c>
      <c r="AJ2" s="2" t="s">
        <v>47</v>
      </c>
    </row>
    <row r="3" spans="1:36" ht="68" x14ac:dyDescent="0.2">
      <c r="A3" s="4">
        <v>27280309</v>
      </c>
      <c r="B3" s="4" t="s">
        <v>38</v>
      </c>
      <c r="C3" s="4" t="s">
        <v>140</v>
      </c>
      <c r="D3" s="4" t="s">
        <v>36</v>
      </c>
      <c r="E3" s="6" t="s">
        <v>40</v>
      </c>
      <c r="F3" s="2" t="s">
        <v>75</v>
      </c>
      <c r="G3" s="8" t="s">
        <v>74</v>
      </c>
      <c r="H3" s="2" t="s">
        <v>52</v>
      </c>
      <c r="I3" s="2" t="s">
        <v>76</v>
      </c>
      <c r="J3" s="2" t="s">
        <v>47</v>
      </c>
      <c r="K3" s="2" t="s">
        <v>80</v>
      </c>
      <c r="L3" s="2" t="s">
        <v>77</v>
      </c>
      <c r="M3" s="2" t="s">
        <v>47</v>
      </c>
      <c r="N3" s="2" t="s">
        <v>49</v>
      </c>
      <c r="O3" s="2" t="s">
        <v>81</v>
      </c>
      <c r="P3" s="2" t="s">
        <v>78</v>
      </c>
      <c r="Q3" s="2" t="s">
        <v>82</v>
      </c>
      <c r="R3" s="2" t="s">
        <v>57</v>
      </c>
      <c r="S3" s="2" t="s">
        <v>60</v>
      </c>
      <c r="T3" s="2" t="s">
        <v>79</v>
      </c>
      <c r="U3" s="2" t="s">
        <v>47</v>
      </c>
      <c r="V3" s="2" t="s">
        <v>49</v>
      </c>
      <c r="W3" s="2" t="s">
        <v>55</v>
      </c>
      <c r="X3" s="2" t="s">
        <v>47</v>
      </c>
      <c r="Y3" s="2" t="s">
        <v>47</v>
      </c>
      <c r="Z3" s="2" t="s">
        <v>83</v>
      </c>
      <c r="AA3" s="2" t="s">
        <v>83</v>
      </c>
      <c r="AB3" s="2" t="s">
        <v>83</v>
      </c>
      <c r="AC3" s="2" t="s">
        <v>57</v>
      </c>
      <c r="AD3" s="2" t="s">
        <v>47</v>
      </c>
      <c r="AE3" s="2" t="s">
        <v>47</v>
      </c>
      <c r="AF3" s="2" t="s">
        <v>47</v>
      </c>
      <c r="AG3" s="2" t="s">
        <v>47</v>
      </c>
      <c r="AH3" s="2" t="s">
        <v>57</v>
      </c>
      <c r="AI3" s="2" t="s">
        <v>47</v>
      </c>
      <c r="AJ3" s="2" t="s">
        <v>47</v>
      </c>
    </row>
    <row r="4" spans="1:36" ht="51" x14ac:dyDescent="0.2">
      <c r="A4" s="4">
        <v>27559624</v>
      </c>
      <c r="B4" s="4" t="s">
        <v>38</v>
      </c>
      <c r="C4" s="4" t="s">
        <v>140</v>
      </c>
      <c r="D4" s="4" t="s">
        <v>37</v>
      </c>
      <c r="E4" s="6" t="s">
        <v>41</v>
      </c>
      <c r="F4" s="2" t="s">
        <v>87</v>
      </c>
      <c r="G4" s="2" t="s">
        <v>84</v>
      </c>
      <c r="H4" s="2" t="s">
        <v>85</v>
      </c>
      <c r="I4" s="2" t="s">
        <v>86</v>
      </c>
      <c r="J4" s="2" t="s">
        <v>47</v>
      </c>
      <c r="K4" s="2" t="s">
        <v>88</v>
      </c>
      <c r="L4" s="2">
        <v>201</v>
      </c>
      <c r="M4" s="2" t="s">
        <v>47</v>
      </c>
      <c r="N4" s="2" t="s">
        <v>49</v>
      </c>
      <c r="O4" s="2" t="s">
        <v>89</v>
      </c>
      <c r="P4" s="2" t="s">
        <v>91</v>
      </c>
      <c r="Q4" s="2" t="s">
        <v>90</v>
      </c>
      <c r="R4" s="2" t="s">
        <v>47</v>
      </c>
      <c r="S4" s="2" t="s">
        <v>54</v>
      </c>
      <c r="T4" s="2" t="s">
        <v>53</v>
      </c>
      <c r="U4" s="2" t="s">
        <v>47</v>
      </c>
      <c r="V4" s="2" t="s">
        <v>49</v>
      </c>
      <c r="W4" s="2" t="s">
        <v>61</v>
      </c>
      <c r="X4" s="2" t="s">
        <v>47</v>
      </c>
      <c r="Y4" s="2" t="s">
        <v>47</v>
      </c>
      <c r="Z4" s="2" t="s">
        <v>92</v>
      </c>
      <c r="AA4" s="2" t="s">
        <v>92</v>
      </c>
      <c r="AB4" s="2" t="s">
        <v>92</v>
      </c>
      <c r="AC4" s="2" t="s">
        <v>47</v>
      </c>
      <c r="AD4" s="2" t="s">
        <v>47</v>
      </c>
      <c r="AE4" s="2" t="s">
        <v>47</v>
      </c>
      <c r="AF4" s="2" t="s">
        <v>47</v>
      </c>
      <c r="AG4" s="2" t="s">
        <v>47</v>
      </c>
      <c r="AH4" s="2" t="s">
        <v>57</v>
      </c>
      <c r="AI4" s="2" t="s">
        <v>47</v>
      </c>
      <c r="AJ4" s="2" t="s">
        <v>47</v>
      </c>
    </row>
    <row r="5" spans="1:36" ht="68" x14ac:dyDescent="0.2">
      <c r="A5" s="4">
        <v>27570514</v>
      </c>
      <c r="B5" s="4" t="s">
        <v>38</v>
      </c>
      <c r="C5" s="4" t="s">
        <v>140</v>
      </c>
      <c r="D5" s="4" t="s">
        <v>36</v>
      </c>
      <c r="E5" s="6" t="s">
        <v>42</v>
      </c>
      <c r="F5" s="2" t="s">
        <v>94</v>
      </c>
      <c r="G5" s="2" t="s">
        <v>93</v>
      </c>
      <c r="H5" s="2" t="s">
        <v>50</v>
      </c>
      <c r="I5" s="2" t="s">
        <v>95</v>
      </c>
      <c r="J5" s="2" t="s">
        <v>47</v>
      </c>
      <c r="K5" s="2" t="s">
        <v>96</v>
      </c>
      <c r="L5" s="2">
        <v>501</v>
      </c>
      <c r="M5" s="2" t="s">
        <v>47</v>
      </c>
      <c r="N5" s="2" t="s">
        <v>49</v>
      </c>
      <c r="O5" s="2" t="s">
        <v>97</v>
      </c>
      <c r="P5" s="2" t="s">
        <v>98</v>
      </c>
      <c r="Q5" s="2" t="s">
        <v>99</v>
      </c>
      <c r="R5" s="2" t="s">
        <v>48</v>
      </c>
      <c r="S5" s="2" t="s">
        <v>60</v>
      </c>
      <c r="T5" s="2" t="s">
        <v>51</v>
      </c>
      <c r="U5" s="2" t="s">
        <v>47</v>
      </c>
      <c r="V5" s="2" t="s">
        <v>49</v>
      </c>
      <c r="W5" s="2" t="s">
        <v>55</v>
      </c>
      <c r="X5" s="2" t="s">
        <v>56</v>
      </c>
      <c r="Y5" s="2" t="s">
        <v>56</v>
      </c>
      <c r="Z5" s="2" t="s">
        <v>47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100</v>
      </c>
      <c r="AG5" s="2" t="s">
        <v>47</v>
      </c>
      <c r="AH5" s="2" t="s">
        <v>47</v>
      </c>
      <c r="AI5" s="2" t="s">
        <v>47</v>
      </c>
      <c r="AJ5" s="2" t="s">
        <v>47</v>
      </c>
    </row>
    <row r="6" spans="1:36" ht="91" customHeight="1" x14ac:dyDescent="0.2">
      <c r="A6" s="4">
        <v>28024223</v>
      </c>
      <c r="B6" s="4" t="s">
        <v>38</v>
      </c>
      <c r="C6" s="4" t="s">
        <v>140</v>
      </c>
      <c r="D6" s="4" t="s">
        <v>36</v>
      </c>
      <c r="E6" s="6" t="s">
        <v>43</v>
      </c>
      <c r="F6" s="2" t="s">
        <v>101</v>
      </c>
      <c r="G6" s="2" t="s">
        <v>102</v>
      </c>
      <c r="H6" s="2" t="s">
        <v>52</v>
      </c>
      <c r="I6" s="2" t="s">
        <v>103</v>
      </c>
      <c r="J6" s="2" t="s">
        <v>47</v>
      </c>
      <c r="K6" s="2" t="s">
        <v>109</v>
      </c>
      <c r="L6" s="2">
        <v>282</v>
      </c>
      <c r="M6" s="2" t="s">
        <v>108</v>
      </c>
      <c r="N6" s="2" t="s">
        <v>58</v>
      </c>
      <c r="O6" s="2" t="s">
        <v>104</v>
      </c>
      <c r="P6" s="2" t="s">
        <v>105</v>
      </c>
      <c r="Q6" s="2" t="s">
        <v>106</v>
      </c>
      <c r="R6" s="2" t="s">
        <v>47</v>
      </c>
      <c r="S6" s="2" t="s">
        <v>54</v>
      </c>
      <c r="T6" s="2" t="s">
        <v>107</v>
      </c>
      <c r="U6" s="2" t="s">
        <v>47</v>
      </c>
      <c r="V6" s="2" t="s">
        <v>58</v>
      </c>
      <c r="W6" s="2" t="s">
        <v>55</v>
      </c>
      <c r="X6" s="2" t="s">
        <v>47</v>
      </c>
      <c r="Y6" s="2" t="s">
        <v>47</v>
      </c>
      <c r="Z6" s="2" t="s">
        <v>47</v>
      </c>
      <c r="AA6" s="2" t="s">
        <v>47</v>
      </c>
      <c r="AB6" s="2" t="s">
        <v>47</v>
      </c>
      <c r="AC6" s="2" t="s">
        <v>47</v>
      </c>
      <c r="AD6" s="2" t="s">
        <v>47</v>
      </c>
      <c r="AE6" s="2" t="s">
        <v>47</v>
      </c>
      <c r="AF6" s="2" t="s">
        <v>47</v>
      </c>
      <c r="AG6" s="2" t="s">
        <v>47</v>
      </c>
      <c r="AH6" s="2" t="s">
        <v>47</v>
      </c>
      <c r="AI6" s="2" t="s">
        <v>47</v>
      </c>
      <c r="AJ6" s="2" t="s">
        <v>47</v>
      </c>
    </row>
    <row r="7" spans="1:36" ht="85" x14ac:dyDescent="0.2">
      <c r="A7" s="4">
        <v>28611704</v>
      </c>
      <c r="B7" s="4" t="s">
        <v>38</v>
      </c>
      <c r="C7" s="4" t="s">
        <v>140</v>
      </c>
      <c r="D7" s="4" t="s">
        <v>36</v>
      </c>
      <c r="E7" s="6" t="s">
        <v>44</v>
      </c>
      <c r="F7" s="2" t="s">
        <v>111</v>
      </c>
      <c r="G7" s="2" t="s">
        <v>112</v>
      </c>
      <c r="H7" s="2" t="s">
        <v>50</v>
      </c>
      <c r="I7" s="2" t="s">
        <v>113</v>
      </c>
      <c r="J7" s="2" t="s">
        <v>47</v>
      </c>
      <c r="K7" s="2" t="s">
        <v>115</v>
      </c>
      <c r="L7" s="2">
        <v>509</v>
      </c>
      <c r="M7" s="2" t="s">
        <v>47</v>
      </c>
      <c r="N7" s="2" t="s">
        <v>58</v>
      </c>
      <c r="O7" s="9" t="s">
        <v>114</v>
      </c>
      <c r="P7" s="2" t="s">
        <v>117</v>
      </c>
      <c r="Q7" s="2" t="s">
        <v>59</v>
      </c>
      <c r="R7" s="2" t="s">
        <v>47</v>
      </c>
      <c r="S7" s="2" t="s">
        <v>118</v>
      </c>
      <c r="T7" s="2" t="s">
        <v>49</v>
      </c>
      <c r="U7" s="2" t="s">
        <v>57</v>
      </c>
      <c r="W7" s="2" t="s">
        <v>116</v>
      </c>
      <c r="X7" s="2" t="s">
        <v>47</v>
      </c>
      <c r="Y7" s="2" t="s">
        <v>47</v>
      </c>
      <c r="Z7" s="2" t="s">
        <v>47</v>
      </c>
      <c r="AA7" s="2" t="s">
        <v>47</v>
      </c>
      <c r="AB7" s="2" t="s">
        <v>47</v>
      </c>
      <c r="AC7" s="2" t="s">
        <v>47</v>
      </c>
      <c r="AD7" s="2" t="s">
        <v>47</v>
      </c>
      <c r="AE7" s="2" t="s">
        <v>47</v>
      </c>
      <c r="AF7" s="2" t="s">
        <v>47</v>
      </c>
      <c r="AG7" s="2" t="s">
        <v>47</v>
      </c>
      <c r="AH7" s="2" t="s">
        <v>47</v>
      </c>
      <c r="AI7" s="2" t="s">
        <v>47</v>
      </c>
      <c r="AJ7" s="2" t="s">
        <v>47</v>
      </c>
    </row>
    <row r="8" spans="1:36" ht="68" x14ac:dyDescent="0.2">
      <c r="A8" s="4">
        <v>28966604</v>
      </c>
      <c r="B8" s="4" t="s">
        <v>38</v>
      </c>
      <c r="C8" s="4" t="s">
        <v>140</v>
      </c>
      <c r="D8" s="4" t="s">
        <v>36</v>
      </c>
      <c r="E8" s="6" t="s">
        <v>45</v>
      </c>
      <c r="F8" s="2" t="s">
        <v>119</v>
      </c>
      <c r="G8" s="2" t="s">
        <v>120</v>
      </c>
      <c r="H8" s="2" t="s">
        <v>50</v>
      </c>
      <c r="I8" s="2" t="s">
        <v>121</v>
      </c>
      <c r="J8" s="2" t="s">
        <v>47</v>
      </c>
      <c r="K8" s="2" t="s">
        <v>122</v>
      </c>
      <c r="L8" s="2" t="s">
        <v>123</v>
      </c>
      <c r="M8" s="2" t="e">
        <f>+#REF!</f>
        <v>#REF!</v>
      </c>
      <c r="N8" s="2" t="s">
        <v>58</v>
      </c>
      <c r="O8" s="2" t="s">
        <v>125</v>
      </c>
      <c r="P8" s="2" t="s">
        <v>124</v>
      </c>
      <c r="Q8" s="2" t="s">
        <v>126</v>
      </c>
      <c r="R8" s="2" t="s">
        <v>127</v>
      </c>
      <c r="S8" s="2" t="s">
        <v>129</v>
      </c>
      <c r="T8" s="2" t="s">
        <v>128</v>
      </c>
      <c r="U8" s="2" t="s">
        <v>47</v>
      </c>
      <c r="V8" s="2" t="s">
        <v>58</v>
      </c>
      <c r="W8" s="2" t="s">
        <v>55</v>
      </c>
      <c r="X8" s="2" t="s">
        <v>58</v>
      </c>
      <c r="Y8" s="2" t="s">
        <v>58</v>
      </c>
      <c r="Z8" s="2" t="s">
        <v>47</v>
      </c>
      <c r="AA8" s="2" t="s">
        <v>47</v>
      </c>
      <c r="AB8" s="2" t="s">
        <v>47</v>
      </c>
      <c r="AC8" s="2" t="s">
        <v>58</v>
      </c>
      <c r="AD8" s="2" t="s">
        <v>47</v>
      </c>
      <c r="AE8" s="2" t="s">
        <v>47</v>
      </c>
      <c r="AF8" s="2" t="s">
        <v>47</v>
      </c>
      <c r="AG8" s="2" t="s">
        <v>47</v>
      </c>
      <c r="AH8" s="2" t="s">
        <v>47</v>
      </c>
      <c r="AI8" s="2" t="s">
        <v>47</v>
      </c>
      <c r="AJ8" s="2" t="s">
        <v>57</v>
      </c>
    </row>
    <row r="9" spans="1:36" ht="85" x14ac:dyDescent="0.2">
      <c r="A9" s="4">
        <v>29294372</v>
      </c>
      <c r="B9" s="4" t="s">
        <v>38</v>
      </c>
      <c r="C9" s="4" t="s">
        <v>140</v>
      </c>
      <c r="D9" s="4" t="s">
        <v>36</v>
      </c>
      <c r="E9" s="6" t="s">
        <v>46</v>
      </c>
      <c r="F9" s="2" t="s">
        <v>130</v>
      </c>
      <c r="G9" s="2" t="s">
        <v>131</v>
      </c>
      <c r="H9" s="2" t="s">
        <v>52</v>
      </c>
      <c r="I9" s="2" t="s">
        <v>132</v>
      </c>
      <c r="J9" s="2" t="s">
        <v>47</v>
      </c>
      <c r="K9" s="2" t="s">
        <v>133</v>
      </c>
      <c r="L9" s="2">
        <v>23039</v>
      </c>
      <c r="M9" s="2" t="s">
        <v>47</v>
      </c>
      <c r="N9" s="2" t="s">
        <v>58</v>
      </c>
      <c r="O9" s="2" t="s">
        <v>134</v>
      </c>
      <c r="P9" s="2" t="s">
        <v>110</v>
      </c>
      <c r="Q9" s="2" t="s">
        <v>135</v>
      </c>
      <c r="R9" s="2" t="s">
        <v>47</v>
      </c>
      <c r="S9" s="2" t="s">
        <v>137</v>
      </c>
      <c r="T9" s="2" t="s">
        <v>136</v>
      </c>
      <c r="U9" s="2" t="s">
        <v>47</v>
      </c>
      <c r="V9" s="2" t="s">
        <v>58</v>
      </c>
      <c r="W9" s="2" t="s">
        <v>138</v>
      </c>
      <c r="X9" s="2" t="s">
        <v>47</v>
      </c>
      <c r="Y9" s="2" t="s">
        <v>47</v>
      </c>
      <c r="Z9" s="2" t="s">
        <v>139</v>
      </c>
      <c r="AA9" s="2" t="s">
        <v>139</v>
      </c>
      <c r="AB9" s="2" t="s">
        <v>139</v>
      </c>
      <c r="AC9" s="2" t="s">
        <v>47</v>
      </c>
      <c r="AD9" s="2" t="s">
        <v>47</v>
      </c>
      <c r="AE9" s="2" t="s">
        <v>47</v>
      </c>
      <c r="AF9" s="2" t="s">
        <v>47</v>
      </c>
      <c r="AG9" s="2" t="s">
        <v>47</v>
      </c>
      <c r="AH9" s="2" t="s">
        <v>47</v>
      </c>
      <c r="AI9" s="2" t="s">
        <v>47</v>
      </c>
      <c r="AJ9" s="2" t="s">
        <v>47</v>
      </c>
    </row>
    <row r="10" spans="1:36" customFormat="1" x14ac:dyDescent="0.2"/>
    <row r="11" spans="1:36" customFormat="1" x14ac:dyDescent="0.2"/>
    <row r="12" spans="1:36" customFormat="1" x14ac:dyDescent="0.2"/>
    <row r="13" spans="1:36" customFormat="1" x14ac:dyDescent="0.2"/>
    <row r="14" spans="1:36" customFormat="1" x14ac:dyDescent="0.2"/>
    <row r="15" spans="1:36" customFormat="1" x14ac:dyDescent="0.2"/>
    <row r="16" spans="1:36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</sheetData>
  <hyperlinks>
    <hyperlink ref="E2" r:id="rId1" xr:uid="{F0E052B5-2244-0849-B358-4FB4E32C615F}"/>
    <hyperlink ref="E3" r:id="rId2" xr:uid="{A8FD229D-741D-1148-886A-9C53F2A51A31}"/>
    <hyperlink ref="E4" r:id="rId3" location="AN=2016-41321-001&amp;db=pdh" xr:uid="{86A9887E-3B87-BF44-80ED-C4881CFE5139}"/>
    <hyperlink ref="E5" r:id="rId4" xr:uid="{F7153F3B-A309-4C45-9445-E588685A3EEC}"/>
    <hyperlink ref="E6" r:id="rId5" xr:uid="{64BAC6D2-247A-0345-8D5C-CD2C58B9774C}"/>
    <hyperlink ref="E7" r:id="rId6" xr:uid="{B4E50D40-7E36-004F-ABFF-E59653D580F1}"/>
    <hyperlink ref="E8" r:id="rId7" xr:uid="{B00A833D-86E1-4C42-A51A-1610C45749A4}"/>
    <hyperlink ref="E9" r:id="rId8" xr:uid="{45A097A5-086B-1146-B669-386B1D268A5A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Stuart</dc:creator>
  <cp:lastModifiedBy>Ian Schmid</cp:lastModifiedBy>
  <dcterms:created xsi:type="dcterms:W3CDTF">2018-06-27T17:45:12Z</dcterms:created>
  <dcterms:modified xsi:type="dcterms:W3CDTF">2019-04-19T01:32:08Z</dcterms:modified>
</cp:coreProperties>
</file>